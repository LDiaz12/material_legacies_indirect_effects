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ldiaz/Desktop/"/>
    </mc:Choice>
  </mc:AlternateContent>
  <xr:revisionPtr revIDLastSave="0" documentId="13_ncr:1_{72D32E7D-CD94-6F4A-BA24-DF01A4AF8320}" xr6:coauthVersionLast="47" xr6:coauthVersionMax="47" xr10:uidLastSave="{00000000-0000-0000-0000-000000000000}"/>
  <bookViews>
    <workbookView xWindow="16080" yWindow="500" windowWidth="22040" windowHeight="17120" xr2:uid="{C8AB0D1F-75A8-FA46-94EB-95412DAEA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  <c r="G2" i="1" l="1"/>
  <c r="G3" i="1"/>
  <c r="G4" i="1"/>
  <c r="G5" i="1"/>
  <c r="G6" i="1"/>
  <c r="G7" i="1"/>
</calcChain>
</file>

<file path=xl/sharedStrings.xml><?xml version="1.0" encoding="utf-8"?>
<sst xmlns="http://schemas.openxmlformats.org/spreadsheetml/2006/main" count="19" uniqueCount="14">
  <si>
    <t>colony_id</t>
  </si>
  <si>
    <t>sample</t>
  </si>
  <si>
    <t>weight2.g</t>
  </si>
  <si>
    <t>weight1.g</t>
  </si>
  <si>
    <t>standard</t>
  </si>
  <si>
    <t>1B</t>
  </si>
  <si>
    <t>2B</t>
  </si>
  <si>
    <t>3B</t>
  </si>
  <si>
    <t>4B</t>
  </si>
  <si>
    <t>5B</t>
  </si>
  <si>
    <t>6B</t>
  </si>
  <si>
    <t>wax_weight.g</t>
  </si>
  <si>
    <t>SA.cm2</t>
  </si>
  <si>
    <t>diameter.mm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</si>
</sst>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Laurel</a:t>
            </a:r>
            <a:r>
              <a:rPr lang="en-US" sz="2000" baseline="0"/>
              <a:t> Standard Curve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wax_weight.g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393152972391443"/>
                  <c:y val="-3.131747706794382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8E-05x + 0.0059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0.9811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Sheet1!$F$2:$F$7</c:f>
              <c:numCache>
                <c:formatCode>General</c:formatCode>
                <c:ptCount val="6"/>
                <c:pt idx="0">
                  <c:v>40.715040790526402</c:v>
                </c:pt>
                <c:pt idx="1">
                  <c:v>29.224665660020975</c:v>
                </c:pt>
                <c:pt idx="2">
                  <c:v>18.095573684678399</c:v>
                </c:pt>
                <c:pt idx="3">
                  <c:v>7.0685834705775008</c:v>
                </c:pt>
                <c:pt idx="4">
                  <c:v>4.154756284372775</c:v>
                </c:pt>
                <c:pt idx="5">
                  <c:v>2.2698006922187748</c:v>
                </c:pt>
              </c:numCache>
            </c:numRef>
          </c:xVal>
          <c:yVal>
            <c:numRef>
              <c:f>Sheet1!$G$2:$G$7</c:f>
              <c:numCache>
                <c:formatCode>General</c:formatCode>
                <c:ptCount val="6"/>
                <c:pt idx="0">
                  <c:v>4.186000000000007</c:v>
                </c:pt>
                <c:pt idx="1">
                  <c:v>3.9570000000000078</c:v>
                </c:pt>
                <c:pt idx="2">
                  <c:v>2.4039999999999964</c:v>
                </c:pt>
                <c:pt idx="3">
                  <c:v>0.97199999999999953</c:v>
                </c:pt>
                <c:pt idx="4">
                  <c:v>0.70699999999999985</c:v>
                </c:pt>
                <c:pt idx="5">
                  <c:v>0.3919999999999999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1-254C-A8E1-3CD824FC2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149152"/>
        <c:axId val="460272368"/>
      </c:scatterChart>
      <c:valAx>
        <c:axId val="46014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Surface Area (cm^2)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72368"/>
        <c:crosses val="autoZero"/>
        <c:crossBetween val="midCat"/>
      </c:valAx>
      <c:valAx>
        <c:axId val="46027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Wax 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4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13</xdr:row>
      <xdr:rowOff>190500</xdr:rowOff>
    </xdr:from>
    <xdr:to>
      <xdr:col>14</xdr:col>
      <xdr:colOff>508000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29CD1-6D30-0B91-6FA6-8FBCF660F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EDE4-5976-4846-B1CC-628445B91119}">
  <dimension ref="A1:G7"/>
  <sheetViews>
    <sheetView tabSelected="1" workbookViewId="0">
      <selection activeCell="B9" sqref="B9"/>
    </sheetView>
  </sheetViews>
  <sheetFormatPr baseColWidth="10" defaultRowHeight="16" x14ac:dyDescent="0.2"/>
  <cols>
    <col min="2" max="2" width="13" customWidth="1"/>
    <col min="3" max="3" width="14" customWidth="1"/>
    <col min="7" max="7" width="11.83203125" bestFit="1" customWidth="1"/>
  </cols>
  <sheetData>
    <row r="1" spans="1:7" x14ac:dyDescent="0.2">
      <c r="A1" t="s">
        <v>0</v>
      </c>
      <c r="B1" t="s">
        <v>1</v>
      </c>
      <c r="C1" t="s">
        <v>13</v>
      </c>
      <c r="D1" t="s">
        <v>3</v>
      </c>
      <c r="E1" t="s">
        <v>2</v>
      </c>
      <c r="F1" t="s">
        <v>12</v>
      </c>
      <c r="G1" t="s">
        <v>11</v>
      </c>
    </row>
    <row r="2" spans="1:7" x14ac:dyDescent="0.2">
      <c r="A2" t="s">
        <v>5</v>
      </c>
      <c r="B2" t="s">
        <v>4</v>
      </c>
      <c r="C2">
        <v>72</v>
      </c>
      <c r="D2">
        <v>139.18600000000001</v>
      </c>
      <c r="E2">
        <v>143.37200000000001</v>
      </c>
      <c r="F2">
        <f>((3.14159265359*((C2/2)^2)))/100</f>
        <v>40.715040790526402</v>
      </c>
      <c r="G2">
        <f>E2-D2</f>
        <v>4.186000000000007</v>
      </c>
    </row>
    <row r="3" spans="1:7" x14ac:dyDescent="0.2">
      <c r="A3" t="s">
        <v>6</v>
      </c>
      <c r="B3" t="s">
        <v>4</v>
      </c>
      <c r="C3">
        <v>61</v>
      </c>
      <c r="D3">
        <v>98.853999999999999</v>
      </c>
      <c r="E3">
        <v>102.81100000000001</v>
      </c>
      <c r="F3">
        <f t="shared" ref="F3:F7" si="0">((3.14159265359*((C3/2)^2)))/100</f>
        <v>29.224665660020975</v>
      </c>
      <c r="G3">
        <f t="shared" ref="G3:G7" si="1">E3-D3</f>
        <v>3.9570000000000078</v>
      </c>
    </row>
    <row r="4" spans="1:7" x14ac:dyDescent="0.2">
      <c r="A4" t="s">
        <v>7</v>
      </c>
      <c r="B4" t="s">
        <v>4</v>
      </c>
      <c r="C4">
        <v>48</v>
      </c>
      <c r="D4">
        <v>46.356000000000002</v>
      </c>
      <c r="E4">
        <v>48.76</v>
      </c>
      <c r="F4">
        <f t="shared" si="0"/>
        <v>18.095573684678399</v>
      </c>
      <c r="G4">
        <f t="shared" si="1"/>
        <v>2.4039999999999964</v>
      </c>
    </row>
    <row r="5" spans="1:7" x14ac:dyDescent="0.2">
      <c r="A5" t="s">
        <v>8</v>
      </c>
      <c r="B5" t="s">
        <v>4</v>
      </c>
      <c r="C5">
        <v>30</v>
      </c>
      <c r="D5">
        <v>12.302</v>
      </c>
      <c r="E5">
        <v>13.273999999999999</v>
      </c>
      <c r="F5">
        <f t="shared" si="0"/>
        <v>7.0685834705775008</v>
      </c>
      <c r="G5">
        <f t="shared" si="1"/>
        <v>0.97199999999999953</v>
      </c>
    </row>
    <row r="6" spans="1:7" x14ac:dyDescent="0.2">
      <c r="A6" t="s">
        <v>9</v>
      </c>
      <c r="B6" t="s">
        <v>4</v>
      </c>
      <c r="C6">
        <v>23</v>
      </c>
      <c r="D6">
        <v>7.03</v>
      </c>
      <c r="E6">
        <v>7.7370000000000001</v>
      </c>
      <c r="F6">
        <f t="shared" si="0"/>
        <v>4.154756284372775</v>
      </c>
      <c r="G6">
        <f t="shared" si="1"/>
        <v>0.70699999999999985</v>
      </c>
    </row>
    <row r="7" spans="1:7" x14ac:dyDescent="0.2">
      <c r="A7" t="s">
        <v>10</v>
      </c>
      <c r="B7" t="s">
        <v>4</v>
      </c>
      <c r="C7">
        <v>17</v>
      </c>
      <c r="D7">
        <v>2.746</v>
      </c>
      <c r="E7">
        <v>3.1379999999999999</v>
      </c>
      <c r="F7">
        <f t="shared" si="0"/>
        <v>2.2698006922187748</v>
      </c>
      <c r="G7">
        <f t="shared" si="1"/>
        <v>0.3919999999999999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 , Kiran  C</dc:creator>
  <cp:lastModifiedBy>Laurel Diaz</cp:lastModifiedBy>
  <dcterms:created xsi:type="dcterms:W3CDTF">2024-06-22T02:51:13Z</dcterms:created>
  <dcterms:modified xsi:type="dcterms:W3CDTF">2024-08-23T18:34:30Z</dcterms:modified>
</cp:coreProperties>
</file>